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lj-my.sharepoint.com/personal/horjakl_ff_uni-lj_si/Documents/Članki/Obdobja 2026/za izris samoglasniki študentov/"/>
    </mc:Choice>
  </mc:AlternateContent>
  <xr:revisionPtr revIDLastSave="219" documentId="11_F25DC773A252ABDACC1048B2B99960065ADE58E8" xr6:coauthVersionLast="47" xr6:coauthVersionMax="47" xr10:uidLastSave="{E4049B6B-892B-4C01-963F-D5EBBD3A48A5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1" i="1"/>
  <c r="M42" i="1"/>
  <c r="M43" i="1"/>
  <c r="M44" i="1"/>
  <c r="M45" i="1"/>
  <c r="M46" i="1"/>
  <c r="M47" i="1"/>
  <c r="M48" i="1"/>
  <c r="M49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1" i="1"/>
  <c r="L42" i="1"/>
  <c r="L43" i="1"/>
  <c r="L44" i="1"/>
  <c r="L45" i="1"/>
  <c r="L46" i="1"/>
  <c r="L47" i="1"/>
  <c r="L48" i="1"/>
  <c r="L4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1" i="1"/>
  <c r="K42" i="1"/>
  <c r="K43" i="1"/>
  <c r="K44" i="1"/>
  <c r="K45" i="1"/>
  <c r="K46" i="1"/>
  <c r="K47" i="1"/>
  <c r="K48" i="1"/>
  <c r="K4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1" i="1"/>
  <c r="J42" i="1"/>
  <c r="J43" i="1"/>
  <c r="J44" i="1"/>
  <c r="J45" i="1"/>
  <c r="J46" i="1"/>
  <c r="J47" i="1"/>
  <c r="J48" i="1"/>
  <c r="J4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1" i="1"/>
  <c r="I42" i="1"/>
  <c r="I43" i="1"/>
  <c r="I44" i="1"/>
  <c r="I45" i="1"/>
  <c r="I46" i="1"/>
  <c r="I47" i="1"/>
  <c r="I48" i="1"/>
  <c r="I49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1" i="1"/>
  <c r="H42" i="1"/>
  <c r="H43" i="1"/>
  <c r="H44" i="1"/>
  <c r="H45" i="1"/>
  <c r="H46" i="1"/>
  <c r="H47" i="1"/>
  <c r="H48" i="1"/>
  <c r="H49" i="1"/>
</calcChain>
</file>

<file path=xl/sharedStrings.xml><?xml version="1.0" encoding="utf-8"?>
<sst xmlns="http://schemas.openxmlformats.org/spreadsheetml/2006/main" count="253" uniqueCount="38">
  <si>
    <t>Ime in priimek</t>
  </si>
  <si>
    <t>spol</t>
  </si>
  <si>
    <t>oznaka</t>
  </si>
  <si>
    <t>Ana Šintler</t>
  </si>
  <si>
    <t>f</t>
  </si>
  <si>
    <t xml:space="preserve">f1 </t>
  </si>
  <si>
    <t>Samoglasnik</t>
  </si>
  <si>
    <t>Samoglasnik-NE-IPA</t>
  </si>
  <si>
    <t>F1</t>
  </si>
  <si>
    <t>F2</t>
  </si>
  <si>
    <t>i</t>
  </si>
  <si>
    <t>e</t>
  </si>
  <si>
    <t>E</t>
  </si>
  <si>
    <t>a</t>
  </si>
  <si>
    <t>@</t>
  </si>
  <si>
    <t>O</t>
  </si>
  <si>
    <t>o</t>
  </si>
  <si>
    <t>u</t>
  </si>
  <si>
    <t>ə</t>
  </si>
  <si>
    <t>ɛ</t>
  </si>
  <si>
    <t>ɔ</t>
  </si>
  <si>
    <t>Anuška Anderlič Zakonjšek</t>
  </si>
  <si>
    <t>f2</t>
  </si>
  <si>
    <t>Miha Sever</t>
  </si>
  <si>
    <t>m</t>
  </si>
  <si>
    <t>Domen Šega</t>
  </si>
  <si>
    <t>m2</t>
  </si>
  <si>
    <t>Simon Rustia</t>
  </si>
  <si>
    <t>Luka Horjak</t>
  </si>
  <si>
    <t>m6</t>
  </si>
  <si>
    <t>m8</t>
  </si>
  <si>
    <t>m1</t>
  </si>
  <si>
    <t>F1mel</t>
  </si>
  <si>
    <t>F2mel</t>
  </si>
  <si>
    <t>F1Bark</t>
  </si>
  <si>
    <t>F2Bark</t>
  </si>
  <si>
    <t>F1ERB</t>
  </si>
  <si>
    <t>F2ERB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</si>
</sst>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zoomScale="265" zoomScaleNormal="265" workbookViewId="0">
      <selection activeCell="M2" sqref="M2"/>
    </sheetView>
  </sheetViews>
  <sheetFormatPr defaultRowHeight="15" x14ac:dyDescent="0.25"/>
  <cols>
    <col min="1" max="1" width="25" bestFit="1" customWidth="1"/>
    <col min="4" max="4" width="19.140625" bestFit="1" customWidth="1"/>
    <col min="5" max="5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7</v>
      </c>
      <c r="E1" t="s">
        <v>6</v>
      </c>
      <c r="F1" t="s">
        <v>8</v>
      </c>
      <c r="G1" t="s">
        <v>9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</row>
    <row r="2" spans="1:13" x14ac:dyDescent="0.25">
      <c r="A2" t="s">
        <v>3</v>
      </c>
      <c r="B2" t="s">
        <v>4</v>
      </c>
      <c r="C2" t="s">
        <v>5</v>
      </c>
      <c r="D2" t="s">
        <v>10</v>
      </c>
      <c r="E2" t="s">
        <v>10</v>
      </c>
      <c r="F2">
        <v>313.22392699555439</v>
      </c>
      <c r="G2">
        <v>2336.9967657529969</v>
      </c>
      <c r="H2">
        <f t="shared" ref="H2:I49" si="0">2595*LOG10(1+(F2/700))</f>
        <v>416.77619512759151</v>
      </c>
      <c r="I2">
        <f t="shared" si="0"/>
        <v>1653.9136210000911</v>
      </c>
      <c r="J2">
        <f>((26.81*F2)/(1960+F2))-0.53</f>
        <v>3.1641074669443396</v>
      </c>
      <c r="K2">
        <f>((26.81*G2)/(1960+G2))-0.53</f>
        <v>14.051086909163251</v>
      </c>
      <c r="L2">
        <f t="shared" ref="L2:M49" si="1">24.7*(((4.37*F2)/1000)+1)</f>
        <v>58.509077455973141</v>
      </c>
      <c r="M2">
        <f t="shared" si="1"/>
        <v>276.95309389861274</v>
      </c>
    </row>
    <row r="3" spans="1:13" x14ac:dyDescent="0.25">
      <c r="A3" t="s">
        <v>3</v>
      </c>
      <c r="B3" t="s">
        <v>4</v>
      </c>
      <c r="C3" t="s">
        <v>5</v>
      </c>
      <c r="D3" t="s">
        <v>11</v>
      </c>
      <c r="E3" t="s">
        <v>11</v>
      </c>
      <c r="F3">
        <v>464.35333715594544</v>
      </c>
      <c r="G3">
        <v>2289.9687223526089</v>
      </c>
      <c r="H3">
        <f t="shared" si="0"/>
        <v>573.46062204634461</v>
      </c>
      <c r="I3">
        <f t="shared" si="0"/>
        <v>1636.3255305970181</v>
      </c>
      <c r="J3">
        <f t="shared" ref="J3:J49" si="2">((26.81*F3)/(1960+F3))-0.53</f>
        <v>4.6051066605478468</v>
      </c>
      <c r="K3">
        <f t="shared" ref="K3:K49" si="3">((26.81*G3)/(1960+G3))-0.53</f>
        <v>13.915767829624922</v>
      </c>
      <c r="L3">
        <f t="shared" si="1"/>
        <v>74.821834859275583</v>
      </c>
      <c r="M3">
        <f t="shared" si="1"/>
        <v>271.87693392201822</v>
      </c>
    </row>
    <row r="4" spans="1:13" x14ac:dyDescent="0.25">
      <c r="A4" t="s">
        <v>3</v>
      </c>
      <c r="B4" t="s">
        <v>4</v>
      </c>
      <c r="C4" t="s">
        <v>5</v>
      </c>
      <c r="D4" t="s">
        <v>12</v>
      </c>
      <c r="E4" s="1" t="s">
        <v>19</v>
      </c>
      <c r="F4">
        <v>699.43603719469843</v>
      </c>
      <c r="G4">
        <v>1725.7725849237422</v>
      </c>
      <c r="H4">
        <f t="shared" si="0"/>
        <v>780.71875956939027</v>
      </c>
      <c r="I4">
        <f t="shared" si="0"/>
        <v>1400.6565529203333</v>
      </c>
      <c r="J4">
        <f t="shared" si="2"/>
        <v>6.5210739476066708</v>
      </c>
      <c r="K4">
        <f t="shared" si="3"/>
        <v>12.023124734569809</v>
      </c>
      <c r="L4">
        <f t="shared" si="1"/>
        <v>100.19642641875856</v>
      </c>
      <c r="M4">
        <f t="shared" si="1"/>
        <v>210.97816704408382</v>
      </c>
    </row>
    <row r="5" spans="1:13" x14ac:dyDescent="0.25">
      <c r="A5" t="s">
        <v>3</v>
      </c>
      <c r="B5" t="s">
        <v>4</v>
      </c>
      <c r="C5" t="s">
        <v>5</v>
      </c>
      <c r="D5" t="s">
        <v>13</v>
      </c>
      <c r="E5" t="s">
        <v>13</v>
      </c>
      <c r="F5">
        <v>882.20072422136116</v>
      </c>
      <c r="G5">
        <v>1467.3747621728207</v>
      </c>
      <c r="H5">
        <f t="shared" si="0"/>
        <v>919.05438358212939</v>
      </c>
      <c r="I5">
        <f t="shared" si="0"/>
        <v>1273.7193471804924</v>
      </c>
      <c r="J5">
        <f t="shared" si="2"/>
        <v>7.7916506191181307</v>
      </c>
      <c r="K5">
        <f t="shared" si="3"/>
        <v>10.9482654666317</v>
      </c>
      <c r="L5">
        <f t="shared" si="1"/>
        <v>119.92386397172949</v>
      </c>
      <c r="M5">
        <f t="shared" si="1"/>
        <v>183.08696445417212</v>
      </c>
    </row>
    <row r="6" spans="1:13" x14ac:dyDescent="0.25">
      <c r="A6" t="s">
        <v>3</v>
      </c>
      <c r="B6" t="s">
        <v>4</v>
      </c>
      <c r="C6" t="s">
        <v>5</v>
      </c>
      <c r="D6" t="s">
        <v>14</v>
      </c>
      <c r="E6" s="1" t="s">
        <v>18</v>
      </c>
      <c r="F6">
        <v>602.8921463997101</v>
      </c>
      <c r="G6">
        <v>1427.7657780458828</v>
      </c>
      <c r="H6">
        <f t="shared" si="0"/>
        <v>700.15805605710159</v>
      </c>
      <c r="I6">
        <f t="shared" si="0"/>
        <v>1252.9328980985094</v>
      </c>
      <c r="J6">
        <f t="shared" si="2"/>
        <v>5.77675717965049</v>
      </c>
      <c r="K6">
        <f t="shared" si="3"/>
        <v>10.769010326354293</v>
      </c>
      <c r="L6">
        <f t="shared" si="1"/>
        <v>89.775575390238316</v>
      </c>
      <c r="M6">
        <f t="shared" si="1"/>
        <v>178.81161031649455</v>
      </c>
    </row>
    <row r="7" spans="1:13" x14ac:dyDescent="0.25">
      <c r="A7" t="s">
        <v>3</v>
      </c>
      <c r="B7" t="s">
        <v>4</v>
      </c>
      <c r="C7" t="s">
        <v>5</v>
      </c>
      <c r="D7" t="s">
        <v>15</v>
      </c>
      <c r="E7" s="1" t="s">
        <v>20</v>
      </c>
      <c r="F7">
        <v>760.71190560492664</v>
      </c>
      <c r="G7">
        <v>1190.7337753694628</v>
      </c>
      <c r="H7">
        <f t="shared" si="0"/>
        <v>829.01564276659337</v>
      </c>
      <c r="I7">
        <f t="shared" si="0"/>
        <v>1119.8264283538269</v>
      </c>
      <c r="J7">
        <f t="shared" si="2"/>
        <v>6.9660844429184428</v>
      </c>
      <c r="K7">
        <f t="shared" si="3"/>
        <v>9.602107246640303</v>
      </c>
      <c r="L7">
        <f t="shared" si="1"/>
        <v>106.81048237909016</v>
      </c>
      <c r="M7">
        <f t="shared" si="1"/>
        <v>153.22661297960445</v>
      </c>
    </row>
    <row r="8" spans="1:13" x14ac:dyDescent="0.25">
      <c r="A8" t="s">
        <v>3</v>
      </c>
      <c r="B8" t="s">
        <v>4</v>
      </c>
      <c r="C8" t="s">
        <v>5</v>
      </c>
      <c r="D8" t="s">
        <v>16</v>
      </c>
      <c r="E8" t="s">
        <v>16</v>
      </c>
      <c r="F8">
        <v>452.26088612992464</v>
      </c>
      <c r="G8">
        <v>940.16313534049618</v>
      </c>
      <c r="H8">
        <f t="shared" si="0"/>
        <v>561.69496371990772</v>
      </c>
      <c r="I8">
        <f t="shared" si="0"/>
        <v>959.60247150276939</v>
      </c>
      <c r="J8">
        <f t="shared" si="2"/>
        <v>4.4964523322749006</v>
      </c>
      <c r="K8">
        <f t="shared" si="3"/>
        <v>8.1611571805492229</v>
      </c>
      <c r="L8">
        <f t="shared" si="1"/>
        <v>73.51658778797794</v>
      </c>
      <c r="M8">
        <f t="shared" si="1"/>
        <v>126.1802686655178</v>
      </c>
    </row>
    <row r="9" spans="1:13" x14ac:dyDescent="0.25">
      <c r="A9" t="s">
        <v>3</v>
      </c>
      <c r="B9" t="s">
        <v>4</v>
      </c>
      <c r="C9" t="s">
        <v>5</v>
      </c>
      <c r="D9" t="s">
        <v>17</v>
      </c>
      <c r="E9" t="s">
        <v>17</v>
      </c>
      <c r="F9">
        <v>359.10712161400716</v>
      </c>
      <c r="G9">
        <v>1006.943296732032</v>
      </c>
      <c r="H9">
        <f t="shared" si="0"/>
        <v>466.68959634363074</v>
      </c>
      <c r="I9">
        <f t="shared" si="0"/>
        <v>1004.5791362475186</v>
      </c>
      <c r="J9">
        <f t="shared" si="2"/>
        <v>3.6214520138988053</v>
      </c>
      <c r="K9">
        <f t="shared" si="3"/>
        <v>8.5689773263010949</v>
      </c>
      <c r="L9">
        <f t="shared" si="1"/>
        <v>63.461663599894315</v>
      </c>
      <c r="M9">
        <f t="shared" si="1"/>
        <v>133.38845250595881</v>
      </c>
    </row>
    <row r="10" spans="1:13" x14ac:dyDescent="0.25">
      <c r="A10" t="s">
        <v>21</v>
      </c>
      <c r="B10" t="s">
        <v>4</v>
      </c>
      <c r="C10" t="s">
        <v>22</v>
      </c>
      <c r="D10" t="s">
        <v>10</v>
      </c>
      <c r="E10" t="s">
        <v>10</v>
      </c>
      <c r="F10" s="2">
        <v>381</v>
      </c>
      <c r="G10" s="2">
        <v>2046</v>
      </c>
      <c r="H10">
        <f t="shared" si="0"/>
        <v>489.74826197184382</v>
      </c>
      <c r="I10">
        <f t="shared" si="0"/>
        <v>1540.3984690404143</v>
      </c>
      <c r="J10">
        <f t="shared" si="2"/>
        <v>3.8333532678342577</v>
      </c>
      <c r="K10">
        <f t="shared" si="3"/>
        <v>13.162775836245631</v>
      </c>
      <c r="L10">
        <f t="shared" si="1"/>
        <v>65.824759</v>
      </c>
      <c r="M10">
        <f t="shared" si="1"/>
        <v>245.543194</v>
      </c>
    </row>
    <row r="11" spans="1:13" x14ac:dyDescent="0.25">
      <c r="A11" t="s">
        <v>21</v>
      </c>
      <c r="B11" t="s">
        <v>4</v>
      </c>
      <c r="C11" t="s">
        <v>22</v>
      </c>
      <c r="D11" t="s">
        <v>11</v>
      </c>
      <c r="E11" t="s">
        <v>11</v>
      </c>
      <c r="F11" s="2">
        <v>473</v>
      </c>
      <c r="G11" s="2">
        <v>1864</v>
      </c>
      <c r="H11">
        <f t="shared" si="0"/>
        <v>581.79892760280188</v>
      </c>
      <c r="I11">
        <f t="shared" si="0"/>
        <v>1463.112850260397</v>
      </c>
      <c r="J11">
        <f t="shared" si="2"/>
        <v>4.682137279079325</v>
      </c>
      <c r="K11">
        <f t="shared" si="3"/>
        <v>12.538472803347281</v>
      </c>
      <c r="L11">
        <f t="shared" si="1"/>
        <v>75.755147000000008</v>
      </c>
      <c r="M11">
        <f t="shared" si="1"/>
        <v>225.89829600000002</v>
      </c>
    </row>
    <row r="12" spans="1:13" x14ac:dyDescent="0.25">
      <c r="A12" t="s">
        <v>21</v>
      </c>
      <c r="B12" t="s">
        <v>4</v>
      </c>
      <c r="C12" t="s">
        <v>22</v>
      </c>
      <c r="D12" t="s">
        <v>12</v>
      </c>
      <c r="E12" s="1" t="s">
        <v>19</v>
      </c>
      <c r="F12" s="2">
        <v>671</v>
      </c>
      <c r="G12" s="2">
        <v>1692</v>
      </c>
      <c r="H12">
        <f t="shared" si="0"/>
        <v>757.58278134178897</v>
      </c>
      <c r="I12">
        <f t="shared" si="0"/>
        <v>1384.855836108992</v>
      </c>
      <c r="J12">
        <f t="shared" si="2"/>
        <v>6.3075180539718732</v>
      </c>
      <c r="K12">
        <f t="shared" si="3"/>
        <v>11.891281489594743</v>
      </c>
      <c r="L12">
        <f t="shared" si="1"/>
        <v>97.127068999999992</v>
      </c>
      <c r="M12">
        <f t="shared" si="1"/>
        <v>207.33278799999999</v>
      </c>
    </row>
    <row r="13" spans="1:13" x14ac:dyDescent="0.25">
      <c r="A13" t="s">
        <v>21</v>
      </c>
      <c r="B13" t="s">
        <v>4</v>
      </c>
      <c r="C13" t="s">
        <v>22</v>
      </c>
      <c r="D13" t="s">
        <v>13</v>
      </c>
      <c r="E13" t="s">
        <v>13</v>
      </c>
      <c r="F13" s="2">
        <v>834</v>
      </c>
      <c r="G13" s="2">
        <v>1381</v>
      </c>
      <c r="H13">
        <f t="shared" si="0"/>
        <v>884.18739435864018</v>
      </c>
      <c r="I13">
        <f t="shared" si="0"/>
        <v>1227.8866343121754</v>
      </c>
      <c r="J13">
        <f t="shared" si="2"/>
        <v>7.4726986399427338</v>
      </c>
      <c r="K13">
        <f t="shared" si="3"/>
        <v>10.551894642322658</v>
      </c>
      <c r="L13">
        <f t="shared" si="1"/>
        <v>114.72112599999998</v>
      </c>
      <c r="M13">
        <f t="shared" si="1"/>
        <v>173.76375899999999</v>
      </c>
    </row>
    <row r="14" spans="1:13" x14ac:dyDescent="0.25">
      <c r="A14" t="s">
        <v>21</v>
      </c>
      <c r="B14" t="s">
        <v>4</v>
      </c>
      <c r="C14" t="s">
        <v>22</v>
      </c>
      <c r="D14" t="s">
        <v>14</v>
      </c>
      <c r="E14" s="1" t="s">
        <v>18</v>
      </c>
      <c r="F14" s="2">
        <v>464</v>
      </c>
      <c r="G14" s="2">
        <v>1487</v>
      </c>
      <c r="H14">
        <f t="shared" si="0"/>
        <v>573.11857007749529</v>
      </c>
      <c r="I14">
        <f t="shared" si="0"/>
        <v>1283.8781781456717</v>
      </c>
      <c r="J14">
        <f t="shared" si="2"/>
        <v>4.6019471947194717</v>
      </c>
      <c r="K14">
        <f t="shared" si="3"/>
        <v>11.035555555555556</v>
      </c>
      <c r="L14">
        <f t="shared" si="1"/>
        <v>74.783696000000006</v>
      </c>
      <c r="M14">
        <f t="shared" si="1"/>
        <v>185.20529300000001</v>
      </c>
    </row>
    <row r="15" spans="1:13" x14ac:dyDescent="0.25">
      <c r="A15" t="s">
        <v>21</v>
      </c>
      <c r="B15" t="s">
        <v>4</v>
      </c>
      <c r="C15" t="s">
        <v>22</v>
      </c>
      <c r="D15" t="s">
        <v>15</v>
      </c>
      <c r="E15" s="1" t="s">
        <v>20</v>
      </c>
      <c r="F15" s="2">
        <v>555</v>
      </c>
      <c r="G15" s="2">
        <v>1173</v>
      </c>
      <c r="H15">
        <f t="shared" si="0"/>
        <v>657.95105465826623</v>
      </c>
      <c r="I15">
        <f t="shared" si="0"/>
        <v>1109.2061184517445</v>
      </c>
      <c r="J15">
        <f t="shared" si="2"/>
        <v>5.386322067594433</v>
      </c>
      <c r="K15">
        <f t="shared" si="3"/>
        <v>9.5077050750079799</v>
      </c>
      <c r="L15">
        <f t="shared" si="1"/>
        <v>84.606144999999998</v>
      </c>
      <c r="M15">
        <f t="shared" si="1"/>
        <v>151.31244699999999</v>
      </c>
    </row>
    <row r="16" spans="1:13" x14ac:dyDescent="0.25">
      <c r="A16" t="s">
        <v>21</v>
      </c>
      <c r="B16" t="s">
        <v>4</v>
      </c>
      <c r="C16" t="s">
        <v>22</v>
      </c>
      <c r="D16" t="s">
        <v>16</v>
      </c>
      <c r="E16" t="s">
        <v>16</v>
      </c>
      <c r="F16" s="2">
        <v>404</v>
      </c>
      <c r="G16" s="2">
        <v>1258</v>
      </c>
      <c r="H16">
        <f t="shared" si="0"/>
        <v>513.47533161830597</v>
      </c>
      <c r="I16">
        <f t="shared" si="0"/>
        <v>1159.2245101401775</v>
      </c>
      <c r="J16">
        <f t="shared" si="2"/>
        <v>4.0517428087986458</v>
      </c>
      <c r="K16">
        <f t="shared" si="3"/>
        <v>9.9507271597265383</v>
      </c>
      <c r="L16">
        <f t="shared" si="1"/>
        <v>68.307355999999999</v>
      </c>
      <c r="M16">
        <f t="shared" si="1"/>
        <v>160.48726199999999</v>
      </c>
    </row>
    <row r="17" spans="1:13" x14ac:dyDescent="0.25">
      <c r="A17" t="s">
        <v>21</v>
      </c>
      <c r="B17" t="s">
        <v>4</v>
      </c>
      <c r="C17" t="s">
        <v>22</v>
      </c>
      <c r="D17" t="s">
        <v>17</v>
      </c>
      <c r="E17" t="s">
        <v>17</v>
      </c>
    </row>
    <row r="18" spans="1:13" x14ac:dyDescent="0.25">
      <c r="A18" t="s">
        <v>23</v>
      </c>
      <c r="B18" t="s">
        <v>24</v>
      </c>
      <c r="C18" t="s">
        <v>29</v>
      </c>
      <c r="D18" t="s">
        <v>10</v>
      </c>
      <c r="E18" t="s">
        <v>10</v>
      </c>
      <c r="F18" s="2">
        <v>363</v>
      </c>
      <c r="G18" s="2">
        <v>2054</v>
      </c>
      <c r="H18">
        <f t="shared" si="0"/>
        <v>470.82440760095869</v>
      </c>
      <c r="I18">
        <f t="shared" si="0"/>
        <v>1543.6769998777518</v>
      </c>
      <c r="J18">
        <f t="shared" si="2"/>
        <v>3.6594231597072744</v>
      </c>
      <c r="K18">
        <f t="shared" si="3"/>
        <v>13.188918784255108</v>
      </c>
      <c r="L18">
        <f t="shared" si="1"/>
        <v>63.881857000000004</v>
      </c>
      <c r="M18">
        <f t="shared" si="1"/>
        <v>246.40670599999999</v>
      </c>
    </row>
    <row r="19" spans="1:13" x14ac:dyDescent="0.25">
      <c r="A19" t="s">
        <v>23</v>
      </c>
      <c r="B19" t="s">
        <v>24</v>
      </c>
      <c r="C19" t="s">
        <v>29</v>
      </c>
      <c r="D19" t="s">
        <v>11</v>
      </c>
      <c r="E19" t="s">
        <v>11</v>
      </c>
      <c r="F19" s="2">
        <v>406</v>
      </c>
      <c r="G19" s="2">
        <v>1726</v>
      </c>
      <c r="H19">
        <f t="shared" si="0"/>
        <v>515.51514064672676</v>
      </c>
      <c r="I19">
        <f t="shared" si="0"/>
        <v>1400.7622031597916</v>
      </c>
      <c r="J19">
        <f t="shared" si="2"/>
        <v>4.0705325443786977</v>
      </c>
      <c r="K19">
        <f t="shared" si="3"/>
        <v>12.02400434074878</v>
      </c>
      <c r="L19">
        <f t="shared" si="1"/>
        <v>68.523234000000002</v>
      </c>
      <c r="M19">
        <f t="shared" si="1"/>
        <v>211.00271399999997</v>
      </c>
    </row>
    <row r="20" spans="1:13" x14ac:dyDescent="0.25">
      <c r="A20" t="s">
        <v>23</v>
      </c>
      <c r="B20" t="s">
        <v>24</v>
      </c>
      <c r="C20" t="s">
        <v>29</v>
      </c>
      <c r="D20" t="s">
        <v>12</v>
      </c>
      <c r="E20" s="1" t="s">
        <v>19</v>
      </c>
      <c r="F20" s="2">
        <v>521</v>
      </c>
      <c r="G20" s="2">
        <v>1624</v>
      </c>
      <c r="H20">
        <f t="shared" si="0"/>
        <v>626.99773409997351</v>
      </c>
      <c r="I20">
        <f t="shared" si="0"/>
        <v>1352.3533272119741</v>
      </c>
      <c r="J20">
        <f t="shared" si="2"/>
        <v>5.0999919387343811</v>
      </c>
      <c r="K20">
        <f t="shared" si="3"/>
        <v>11.618281249999999</v>
      </c>
      <c r="L20">
        <f t="shared" si="1"/>
        <v>80.936218999999994</v>
      </c>
      <c r="M20">
        <f t="shared" si="1"/>
        <v>199.99293600000001</v>
      </c>
    </row>
    <row r="21" spans="1:13" x14ac:dyDescent="0.25">
      <c r="A21" t="s">
        <v>23</v>
      </c>
      <c r="B21" t="s">
        <v>24</v>
      </c>
      <c r="C21" t="s">
        <v>29</v>
      </c>
      <c r="D21" t="s">
        <v>13</v>
      </c>
      <c r="E21" t="s">
        <v>13</v>
      </c>
      <c r="F21" s="2">
        <v>516</v>
      </c>
      <c r="G21" s="2">
        <v>1254</v>
      </c>
      <c r="H21">
        <f t="shared" si="0"/>
        <v>622.37321312378185</v>
      </c>
      <c r="I21">
        <f t="shared" si="0"/>
        <v>1156.9198177612509</v>
      </c>
      <c r="J21">
        <f t="shared" si="2"/>
        <v>5.0572213247172852</v>
      </c>
      <c r="K21">
        <f t="shared" si="3"/>
        <v>9.9304044803982574</v>
      </c>
      <c r="L21">
        <f t="shared" si="1"/>
        <v>80.396523999999999</v>
      </c>
      <c r="M21">
        <f t="shared" si="1"/>
        <v>160.05550600000001</v>
      </c>
    </row>
    <row r="22" spans="1:13" x14ac:dyDescent="0.25">
      <c r="A22" t="s">
        <v>23</v>
      </c>
      <c r="B22" t="s">
        <v>24</v>
      </c>
      <c r="C22" t="s">
        <v>29</v>
      </c>
      <c r="D22" t="s">
        <v>14</v>
      </c>
      <c r="E22" s="1" t="s">
        <v>18</v>
      </c>
      <c r="F22" s="2">
        <v>439</v>
      </c>
      <c r="G22" s="2">
        <v>1363</v>
      </c>
      <c r="H22">
        <f t="shared" si="0"/>
        <v>548.64965014826896</v>
      </c>
      <c r="I22">
        <f t="shared" si="0"/>
        <v>1218.0960827533318</v>
      </c>
      <c r="J22">
        <f t="shared" si="2"/>
        <v>4.3760400166736142</v>
      </c>
      <c r="K22">
        <f t="shared" si="3"/>
        <v>10.466698766175144</v>
      </c>
      <c r="L22">
        <f t="shared" si="1"/>
        <v>72.08522099999999</v>
      </c>
      <c r="M22">
        <f t="shared" si="1"/>
        <v>171.82085699999999</v>
      </c>
    </row>
    <row r="23" spans="1:13" x14ac:dyDescent="0.25">
      <c r="A23" t="s">
        <v>23</v>
      </c>
      <c r="B23" t="s">
        <v>24</v>
      </c>
      <c r="C23" t="s">
        <v>29</v>
      </c>
      <c r="D23" t="s">
        <v>15</v>
      </c>
      <c r="E23" s="1" t="s">
        <v>20</v>
      </c>
      <c r="F23" s="2">
        <v>576</v>
      </c>
      <c r="G23" s="2">
        <v>1041</v>
      </c>
      <c r="H23">
        <f t="shared" si="0"/>
        <v>676.65308619245093</v>
      </c>
      <c r="I23">
        <f t="shared" si="0"/>
        <v>1026.8433972124778</v>
      </c>
      <c r="J23">
        <f t="shared" si="2"/>
        <v>5.5593375394321765</v>
      </c>
      <c r="K23">
        <f t="shared" si="3"/>
        <v>8.7699700099966673</v>
      </c>
      <c r="L23">
        <f t="shared" si="1"/>
        <v>86.872863999999993</v>
      </c>
      <c r="M23">
        <f t="shared" si="1"/>
        <v>137.06449900000001</v>
      </c>
    </row>
    <row r="24" spans="1:13" x14ac:dyDescent="0.25">
      <c r="A24" t="s">
        <v>23</v>
      </c>
      <c r="B24" t="s">
        <v>24</v>
      </c>
      <c r="C24" t="s">
        <v>29</v>
      </c>
      <c r="D24" t="s">
        <v>16</v>
      </c>
      <c r="E24" t="s">
        <v>16</v>
      </c>
      <c r="F24" s="2">
        <v>401</v>
      </c>
      <c r="G24" s="2">
        <v>1058</v>
      </c>
      <c r="H24">
        <f t="shared" si="0"/>
        <v>510.40867889469945</v>
      </c>
      <c r="I24">
        <f t="shared" si="0"/>
        <v>1037.7945557274729</v>
      </c>
      <c r="J24">
        <f t="shared" si="2"/>
        <v>4.0234985175772975</v>
      </c>
      <c r="K24">
        <f t="shared" si="3"/>
        <v>8.8686017229953613</v>
      </c>
      <c r="L24">
        <f t="shared" si="1"/>
        <v>67.983538999999993</v>
      </c>
      <c r="M24">
        <f t="shared" si="1"/>
        <v>138.899462</v>
      </c>
    </row>
    <row r="25" spans="1:13" x14ac:dyDescent="0.25">
      <c r="A25" t="s">
        <v>23</v>
      </c>
      <c r="B25" t="s">
        <v>24</v>
      </c>
      <c r="C25" t="s">
        <v>29</v>
      </c>
      <c r="D25" t="s">
        <v>17</v>
      </c>
      <c r="E25" t="s">
        <v>17</v>
      </c>
      <c r="F25" s="2">
        <v>401</v>
      </c>
      <c r="G25" s="2">
        <v>1116</v>
      </c>
      <c r="H25">
        <f t="shared" si="0"/>
        <v>510.40867889469945</v>
      </c>
      <c r="I25">
        <f t="shared" si="0"/>
        <v>1074.3762018232505</v>
      </c>
      <c r="J25">
        <f t="shared" si="2"/>
        <v>4.0234985175772975</v>
      </c>
      <c r="K25">
        <f t="shared" si="3"/>
        <v>9.1969050715214564</v>
      </c>
      <c r="L25">
        <f t="shared" si="1"/>
        <v>67.983538999999993</v>
      </c>
      <c r="M25">
        <f t="shared" si="1"/>
        <v>145.15992399999999</v>
      </c>
    </row>
    <row r="26" spans="1:13" x14ac:dyDescent="0.25">
      <c r="A26" t="s">
        <v>25</v>
      </c>
      <c r="B26" t="s">
        <v>24</v>
      </c>
      <c r="C26" t="s">
        <v>31</v>
      </c>
      <c r="D26" t="s">
        <v>10</v>
      </c>
      <c r="E26" t="s">
        <v>10</v>
      </c>
      <c r="F26" s="2">
        <v>303</v>
      </c>
      <c r="G26" s="2">
        <v>2072</v>
      </c>
      <c r="H26">
        <f t="shared" si="0"/>
        <v>405.34650735098853</v>
      </c>
      <c r="I26">
        <f t="shared" si="0"/>
        <v>1551.0190074767045</v>
      </c>
      <c r="J26">
        <f t="shared" si="2"/>
        <v>3.0596730004418911</v>
      </c>
      <c r="K26">
        <f t="shared" si="3"/>
        <v>13.247361111111111</v>
      </c>
      <c r="L26">
        <f t="shared" si="1"/>
        <v>57.405517000000003</v>
      </c>
      <c r="M26">
        <f t="shared" si="1"/>
        <v>248.34960799999996</v>
      </c>
    </row>
    <row r="27" spans="1:13" x14ac:dyDescent="0.25">
      <c r="A27" t="s">
        <v>25</v>
      </c>
      <c r="B27" t="s">
        <v>24</v>
      </c>
      <c r="C27" t="s">
        <v>31</v>
      </c>
      <c r="D27" t="s">
        <v>11</v>
      </c>
      <c r="E27" t="s">
        <v>11</v>
      </c>
      <c r="F27" s="2">
        <v>404</v>
      </c>
      <c r="G27" s="2">
        <v>1771</v>
      </c>
      <c r="H27">
        <f t="shared" si="0"/>
        <v>513.47533161830597</v>
      </c>
      <c r="I27">
        <f t="shared" si="0"/>
        <v>1421.4753604813995</v>
      </c>
      <c r="J27">
        <f t="shared" si="2"/>
        <v>4.0517428087986458</v>
      </c>
      <c r="K27">
        <f t="shared" si="3"/>
        <v>12.195947467166979</v>
      </c>
      <c r="L27">
        <f t="shared" si="1"/>
        <v>68.307355999999999</v>
      </c>
      <c r="M27">
        <f t="shared" si="1"/>
        <v>215.85996900000004</v>
      </c>
    </row>
    <row r="28" spans="1:13" x14ac:dyDescent="0.25">
      <c r="A28" t="s">
        <v>25</v>
      </c>
      <c r="B28" t="s">
        <v>24</v>
      </c>
      <c r="C28" t="s">
        <v>31</v>
      </c>
      <c r="D28" t="s">
        <v>12</v>
      </c>
      <c r="E28" s="1" t="s">
        <v>19</v>
      </c>
      <c r="F28" s="2">
        <v>522</v>
      </c>
      <c r="G28" s="2">
        <v>1776</v>
      </c>
      <c r="H28">
        <f t="shared" si="0"/>
        <v>627.92036549046281</v>
      </c>
      <c r="I28">
        <f t="shared" si="0"/>
        <v>1423.7534978662718</v>
      </c>
      <c r="J28">
        <f t="shared" si="2"/>
        <v>5.1085253827558414</v>
      </c>
      <c r="K28">
        <f t="shared" si="3"/>
        <v>12.214796573875804</v>
      </c>
      <c r="L28">
        <f t="shared" si="1"/>
        <v>81.044157999999996</v>
      </c>
      <c r="M28">
        <f t="shared" si="1"/>
        <v>216.399664</v>
      </c>
    </row>
    <row r="29" spans="1:13" x14ac:dyDescent="0.25">
      <c r="A29" t="s">
        <v>25</v>
      </c>
      <c r="B29" t="s">
        <v>24</v>
      </c>
      <c r="C29" t="s">
        <v>31</v>
      </c>
      <c r="D29" t="s">
        <v>13</v>
      </c>
      <c r="E29" t="s">
        <v>13</v>
      </c>
      <c r="F29" s="2">
        <v>625</v>
      </c>
      <c r="G29" s="2">
        <v>1219</v>
      </c>
      <c r="H29">
        <f t="shared" si="0"/>
        <v>719.12079028098867</v>
      </c>
      <c r="I29">
        <f t="shared" si="0"/>
        <v>1136.550145601552</v>
      </c>
      <c r="J29">
        <f t="shared" si="2"/>
        <v>5.9521083172146998</v>
      </c>
      <c r="K29">
        <f t="shared" si="3"/>
        <v>9.7503994966970744</v>
      </c>
      <c r="L29">
        <f t="shared" si="1"/>
        <v>92.161874999999995</v>
      </c>
      <c r="M29">
        <f t="shared" si="1"/>
        <v>156.27764099999999</v>
      </c>
    </row>
    <row r="30" spans="1:13" x14ac:dyDescent="0.25">
      <c r="A30" t="s">
        <v>25</v>
      </c>
      <c r="B30" t="s">
        <v>24</v>
      </c>
      <c r="C30" t="s">
        <v>31</v>
      </c>
      <c r="D30" t="s">
        <v>14</v>
      </c>
      <c r="E30" s="1" t="s">
        <v>18</v>
      </c>
      <c r="F30" s="2">
        <v>488</v>
      </c>
      <c r="G30" s="2">
        <v>1247</v>
      </c>
      <c r="H30">
        <f t="shared" si="0"/>
        <v>596.11924963723197</v>
      </c>
      <c r="I30">
        <f t="shared" si="0"/>
        <v>1152.8752303574856</v>
      </c>
      <c r="J30">
        <f t="shared" si="2"/>
        <v>4.8144771241830062</v>
      </c>
      <c r="K30">
        <f t="shared" si="3"/>
        <v>9.8947178048019957</v>
      </c>
      <c r="L30">
        <f t="shared" si="1"/>
        <v>77.374231999999992</v>
      </c>
      <c r="M30">
        <f t="shared" si="1"/>
        <v>159.29993300000001</v>
      </c>
    </row>
    <row r="31" spans="1:13" x14ac:dyDescent="0.25">
      <c r="A31" t="s">
        <v>25</v>
      </c>
      <c r="B31" t="s">
        <v>24</v>
      </c>
      <c r="C31" t="s">
        <v>31</v>
      </c>
      <c r="D31" t="s">
        <v>15</v>
      </c>
      <c r="E31" s="1" t="s">
        <v>20</v>
      </c>
      <c r="F31" s="2">
        <v>544</v>
      </c>
      <c r="G31" s="2">
        <v>754</v>
      </c>
      <c r="H31">
        <f t="shared" si="0"/>
        <v>648.02947318370923</v>
      </c>
      <c r="I31">
        <f t="shared" si="0"/>
        <v>823.82522109023807</v>
      </c>
      <c r="J31">
        <f t="shared" si="2"/>
        <v>5.2945367412140572</v>
      </c>
      <c r="K31">
        <f t="shared" si="3"/>
        <v>6.9183198231392771</v>
      </c>
      <c r="L31">
        <f t="shared" si="1"/>
        <v>83.418816000000007</v>
      </c>
      <c r="M31">
        <f t="shared" si="1"/>
        <v>106.086006</v>
      </c>
    </row>
    <row r="32" spans="1:13" x14ac:dyDescent="0.25">
      <c r="A32" t="s">
        <v>25</v>
      </c>
      <c r="B32" t="s">
        <v>24</v>
      </c>
      <c r="C32" t="s">
        <v>31</v>
      </c>
      <c r="D32" t="s">
        <v>16</v>
      </c>
      <c r="E32" t="s">
        <v>16</v>
      </c>
      <c r="F32" s="2">
        <v>357</v>
      </c>
      <c r="G32" s="2">
        <v>1069</v>
      </c>
      <c r="H32">
        <f t="shared" si="0"/>
        <v>464.44517822577467</v>
      </c>
      <c r="I32">
        <f t="shared" si="0"/>
        <v>1044.824312563735</v>
      </c>
      <c r="J32">
        <f t="shared" si="2"/>
        <v>3.6008459214501505</v>
      </c>
      <c r="K32">
        <f t="shared" si="3"/>
        <v>8.9318322878837897</v>
      </c>
      <c r="L32">
        <f t="shared" si="1"/>
        <v>63.234223</v>
      </c>
      <c r="M32">
        <f t="shared" si="1"/>
        <v>140.08679099999998</v>
      </c>
    </row>
    <row r="33" spans="1:13" x14ac:dyDescent="0.25">
      <c r="A33" t="s">
        <v>25</v>
      </c>
      <c r="B33" t="s">
        <v>24</v>
      </c>
      <c r="C33" t="s">
        <v>31</v>
      </c>
      <c r="D33" t="s">
        <v>17</v>
      </c>
      <c r="E33" t="s">
        <v>17</v>
      </c>
      <c r="F33" s="2">
        <v>363</v>
      </c>
      <c r="G33" s="2">
        <v>844</v>
      </c>
      <c r="H33">
        <f t="shared" si="0"/>
        <v>470.82440760095869</v>
      </c>
      <c r="I33">
        <f t="shared" si="0"/>
        <v>891.51031928226996</v>
      </c>
      <c r="J33">
        <f t="shared" si="2"/>
        <v>3.6594231597072744</v>
      </c>
      <c r="K33">
        <f t="shared" si="3"/>
        <v>7.5397717546362335</v>
      </c>
      <c r="L33">
        <f t="shared" si="1"/>
        <v>63.881857000000004</v>
      </c>
      <c r="M33">
        <f t="shared" si="1"/>
        <v>115.80051600000002</v>
      </c>
    </row>
    <row r="34" spans="1:13" x14ac:dyDescent="0.25">
      <c r="A34" t="s">
        <v>27</v>
      </c>
      <c r="B34" t="s">
        <v>24</v>
      </c>
      <c r="C34" t="s">
        <v>30</v>
      </c>
      <c r="D34" t="s">
        <v>10</v>
      </c>
      <c r="E34" t="s">
        <v>10</v>
      </c>
      <c r="F34" s="2">
        <v>347</v>
      </c>
      <c r="G34" s="2">
        <v>667</v>
      </c>
      <c r="H34">
        <f t="shared" si="0"/>
        <v>453.73222511959943</v>
      </c>
      <c r="I34">
        <f t="shared" si="0"/>
        <v>754.28988146650227</v>
      </c>
      <c r="J34">
        <f t="shared" si="2"/>
        <v>3.5025400953619412</v>
      </c>
      <c r="K34">
        <f t="shared" si="3"/>
        <v>6.2771069661210506</v>
      </c>
      <c r="L34">
        <f t="shared" si="1"/>
        <v>62.154833000000004</v>
      </c>
      <c r="M34">
        <f t="shared" si="1"/>
        <v>96.695312999999999</v>
      </c>
    </row>
    <row r="35" spans="1:13" x14ac:dyDescent="0.25">
      <c r="A35" t="s">
        <v>27</v>
      </c>
      <c r="B35" t="s">
        <v>24</v>
      </c>
      <c r="C35" t="s">
        <v>30</v>
      </c>
      <c r="D35" t="s">
        <v>11</v>
      </c>
      <c r="E35" t="s">
        <v>11</v>
      </c>
      <c r="F35" s="2">
        <v>370</v>
      </c>
      <c r="G35" s="2">
        <v>2321</v>
      </c>
      <c r="H35">
        <f t="shared" si="0"/>
        <v>478.22148925612242</v>
      </c>
      <c r="I35">
        <f t="shared" si="0"/>
        <v>1647.9617182471661</v>
      </c>
      <c r="J35">
        <f t="shared" si="2"/>
        <v>3.7273819742489263</v>
      </c>
      <c r="K35">
        <f t="shared" si="3"/>
        <v>14.005391263723428</v>
      </c>
      <c r="L35">
        <f t="shared" si="1"/>
        <v>64.637430000000009</v>
      </c>
      <c r="M35">
        <f t="shared" si="1"/>
        <v>275.22641900000002</v>
      </c>
    </row>
    <row r="36" spans="1:13" x14ac:dyDescent="0.25">
      <c r="A36" t="s">
        <v>27</v>
      </c>
      <c r="B36" t="s">
        <v>24</v>
      </c>
      <c r="C36" t="s">
        <v>30</v>
      </c>
      <c r="D36" t="s">
        <v>12</v>
      </c>
      <c r="E36" s="1" t="s">
        <v>19</v>
      </c>
      <c r="F36" s="2">
        <v>386</v>
      </c>
      <c r="G36" s="2">
        <v>2124</v>
      </c>
      <c r="H36">
        <f t="shared" si="0"/>
        <v>494.94898269409248</v>
      </c>
      <c r="I36">
        <f t="shared" si="0"/>
        <v>1571.9644628884967</v>
      </c>
      <c r="J36">
        <f t="shared" si="2"/>
        <v>3.8811935208866153</v>
      </c>
      <c r="K36">
        <f t="shared" si="3"/>
        <v>13.41330068560235</v>
      </c>
      <c r="L36">
        <f t="shared" si="1"/>
        <v>66.364453999999995</v>
      </c>
      <c r="M36">
        <f t="shared" si="1"/>
        <v>253.96243600000003</v>
      </c>
    </row>
    <row r="37" spans="1:13" x14ac:dyDescent="0.25">
      <c r="A37" t="s">
        <v>27</v>
      </c>
      <c r="B37" t="s">
        <v>24</v>
      </c>
      <c r="C37" t="s">
        <v>30</v>
      </c>
      <c r="D37" t="s">
        <v>13</v>
      </c>
      <c r="E37" t="s">
        <v>13</v>
      </c>
      <c r="F37" s="2">
        <v>643</v>
      </c>
      <c r="G37" s="2">
        <v>1119</v>
      </c>
      <c r="H37">
        <f t="shared" si="0"/>
        <v>734.32783903831978</v>
      </c>
      <c r="I37">
        <f t="shared" si="0"/>
        <v>1076.2364402327435</v>
      </c>
      <c r="J37">
        <f t="shared" si="2"/>
        <v>6.0926776796004605</v>
      </c>
      <c r="K37">
        <f t="shared" si="3"/>
        <v>9.2135498538486527</v>
      </c>
      <c r="L37">
        <f t="shared" si="1"/>
        <v>94.104776999999999</v>
      </c>
      <c r="M37">
        <f t="shared" si="1"/>
        <v>145.48374099999998</v>
      </c>
    </row>
    <row r="38" spans="1:13" x14ac:dyDescent="0.25">
      <c r="A38" t="s">
        <v>27</v>
      </c>
      <c r="B38" t="s">
        <v>24</v>
      </c>
      <c r="C38" t="s">
        <v>30</v>
      </c>
      <c r="D38" t="s">
        <v>14</v>
      </c>
      <c r="E38" s="1" t="s">
        <v>18</v>
      </c>
      <c r="F38" s="2">
        <v>449</v>
      </c>
      <c r="G38" s="2">
        <v>2019</v>
      </c>
      <c r="H38">
        <f t="shared" si="0"/>
        <v>558.50106060910366</v>
      </c>
      <c r="I38">
        <f t="shared" si="0"/>
        <v>1529.2624798525665</v>
      </c>
      <c r="J38">
        <f t="shared" si="2"/>
        <v>4.4669655458696544</v>
      </c>
      <c r="K38">
        <f t="shared" si="3"/>
        <v>13.073767278210607</v>
      </c>
      <c r="L38">
        <f t="shared" si="1"/>
        <v>73.164611000000008</v>
      </c>
      <c r="M38">
        <f t="shared" si="1"/>
        <v>242.62884100000002</v>
      </c>
    </row>
    <row r="39" spans="1:13" x14ac:dyDescent="0.25">
      <c r="A39" t="s">
        <v>27</v>
      </c>
      <c r="B39" t="s">
        <v>24</v>
      </c>
      <c r="C39" t="s">
        <v>30</v>
      </c>
      <c r="D39" t="s">
        <v>15</v>
      </c>
      <c r="E39" s="1" t="s">
        <v>20</v>
      </c>
      <c r="F39" s="2">
        <v>489</v>
      </c>
      <c r="G39" s="2">
        <v>760</v>
      </c>
      <c r="H39">
        <f t="shared" si="0"/>
        <v>597.06749889850823</v>
      </c>
      <c r="I39">
        <f t="shared" si="0"/>
        <v>828.46624692361763</v>
      </c>
      <c r="J39">
        <f t="shared" si="2"/>
        <v>4.8232421396488361</v>
      </c>
      <c r="K39">
        <f t="shared" si="3"/>
        <v>6.9610294117647049</v>
      </c>
      <c r="L39">
        <f t="shared" si="1"/>
        <v>77.482170999999994</v>
      </c>
      <c r="M39">
        <f t="shared" si="1"/>
        <v>106.73363999999999</v>
      </c>
    </row>
    <row r="40" spans="1:13" x14ac:dyDescent="0.25">
      <c r="A40" t="s">
        <v>27</v>
      </c>
      <c r="B40" t="s">
        <v>24</v>
      </c>
      <c r="C40" t="s">
        <v>30</v>
      </c>
      <c r="D40" t="s">
        <v>16</v>
      </c>
      <c r="E40" t="s">
        <v>16</v>
      </c>
    </row>
    <row r="41" spans="1:13" x14ac:dyDescent="0.25">
      <c r="A41" t="s">
        <v>27</v>
      </c>
      <c r="B41" t="s">
        <v>24</v>
      </c>
      <c r="C41" t="s">
        <v>30</v>
      </c>
      <c r="D41" t="s">
        <v>17</v>
      </c>
      <c r="E41" t="s">
        <v>17</v>
      </c>
      <c r="F41" s="2">
        <v>345</v>
      </c>
      <c r="G41" s="2">
        <v>544</v>
      </c>
      <c r="H41">
        <f t="shared" si="0"/>
        <v>451.57735987315749</v>
      </c>
      <c r="I41">
        <f t="shared" si="0"/>
        <v>648.02947318370923</v>
      </c>
      <c r="J41">
        <f t="shared" si="2"/>
        <v>3.4827765726681124</v>
      </c>
      <c r="K41">
        <f t="shared" si="3"/>
        <v>5.2945367412140572</v>
      </c>
      <c r="L41">
        <f t="shared" si="1"/>
        <v>61.938955</v>
      </c>
      <c r="M41">
        <f t="shared" si="1"/>
        <v>83.418816000000007</v>
      </c>
    </row>
    <row r="42" spans="1:13" x14ac:dyDescent="0.25">
      <c r="A42" t="s">
        <v>28</v>
      </c>
      <c r="B42" t="s">
        <v>24</v>
      </c>
      <c r="C42" t="s">
        <v>26</v>
      </c>
      <c r="D42" t="s">
        <v>10</v>
      </c>
      <c r="E42" t="s">
        <v>10</v>
      </c>
      <c r="F42">
        <v>306.60526315789474</v>
      </c>
      <c r="G42">
        <v>2353.1842105263158</v>
      </c>
      <c r="H42">
        <f t="shared" si="0"/>
        <v>409.39020193299018</v>
      </c>
      <c r="I42">
        <f t="shared" si="0"/>
        <v>1659.904641329246</v>
      </c>
      <c r="J42">
        <f t="shared" si="2"/>
        <v>3.096607261032613</v>
      </c>
      <c r="K42">
        <f t="shared" si="3"/>
        <v>14.096982202671125</v>
      </c>
      <c r="L42">
        <f t="shared" si="1"/>
        <v>57.794665500000001</v>
      </c>
      <c r="M42">
        <f t="shared" si="1"/>
        <v>278.70035050000001</v>
      </c>
    </row>
    <row r="43" spans="1:13" x14ac:dyDescent="0.25">
      <c r="A43" t="s">
        <v>28</v>
      </c>
      <c r="B43" t="s">
        <v>24</v>
      </c>
      <c r="C43" t="s">
        <v>26</v>
      </c>
      <c r="D43" t="s">
        <v>11</v>
      </c>
      <c r="E43" t="s">
        <v>11</v>
      </c>
      <c r="F43">
        <v>369.95238095238096</v>
      </c>
      <c r="G43">
        <v>2307.6904761904761</v>
      </c>
      <c r="H43">
        <f t="shared" si="0"/>
        <v>478.17133263578262</v>
      </c>
      <c r="I43">
        <f t="shared" si="0"/>
        <v>1642.9855860978614</v>
      </c>
      <c r="J43">
        <f t="shared" si="2"/>
        <v>3.7269210488667248</v>
      </c>
      <c r="K43">
        <f t="shared" si="3"/>
        <v>13.967110793726953</v>
      </c>
      <c r="L43">
        <f t="shared" si="1"/>
        <v>64.632290047619051</v>
      </c>
      <c r="M43">
        <f t="shared" si="1"/>
        <v>273.78980230952379</v>
      </c>
    </row>
    <row r="44" spans="1:13" x14ac:dyDescent="0.25">
      <c r="A44" t="s">
        <v>28</v>
      </c>
      <c r="B44" t="s">
        <v>24</v>
      </c>
      <c r="C44" t="s">
        <v>26</v>
      </c>
      <c r="D44" t="s">
        <v>12</v>
      </c>
      <c r="E44" s="1" t="s">
        <v>19</v>
      </c>
      <c r="F44">
        <v>577.83333333333337</v>
      </c>
      <c r="G44">
        <v>1956.5555555555557</v>
      </c>
      <c r="H44">
        <f t="shared" si="0"/>
        <v>678.27116856737666</v>
      </c>
      <c r="I44">
        <f t="shared" si="0"/>
        <v>1503.0781383561609</v>
      </c>
      <c r="J44">
        <f t="shared" si="2"/>
        <v>5.5743061666776113</v>
      </c>
      <c r="K44">
        <f t="shared" si="3"/>
        <v>12.86321087123039</v>
      </c>
      <c r="L44">
        <f t="shared" si="1"/>
        <v>87.070752166666679</v>
      </c>
      <c r="M44">
        <f t="shared" si="1"/>
        <v>235.88865011111113</v>
      </c>
    </row>
    <row r="45" spans="1:13" x14ac:dyDescent="0.25">
      <c r="A45" t="s">
        <v>28</v>
      </c>
      <c r="B45" t="s">
        <v>24</v>
      </c>
      <c r="C45" t="s">
        <v>26</v>
      </c>
      <c r="D45" t="s">
        <v>13</v>
      </c>
      <c r="E45" t="s">
        <v>13</v>
      </c>
      <c r="F45">
        <v>757.90476190476193</v>
      </c>
      <c r="G45">
        <v>1438.0793650793651</v>
      </c>
      <c r="H45">
        <f t="shared" si="0"/>
        <v>826.84774204515224</v>
      </c>
      <c r="I45">
        <f t="shared" si="0"/>
        <v>1258.3824045033471</v>
      </c>
      <c r="J45">
        <f t="shared" si="2"/>
        <v>6.9461363795640896</v>
      </c>
      <c r="K45">
        <f t="shared" si="3"/>
        <v>10.816088079634156</v>
      </c>
      <c r="L45">
        <f t="shared" si="1"/>
        <v>106.5074820952381</v>
      </c>
      <c r="M45">
        <f t="shared" si="1"/>
        <v>179.92484858730157</v>
      </c>
    </row>
    <row r="46" spans="1:13" x14ac:dyDescent="0.25">
      <c r="A46" t="s">
        <v>28</v>
      </c>
      <c r="B46" t="s">
        <v>24</v>
      </c>
      <c r="C46" t="s">
        <v>26</v>
      </c>
      <c r="D46" t="s">
        <v>14</v>
      </c>
      <c r="E46" s="1" t="s">
        <v>18</v>
      </c>
      <c r="F46">
        <v>559.29999999999995</v>
      </c>
      <c r="G46">
        <v>1426.3</v>
      </c>
      <c r="H46">
        <f t="shared" si="0"/>
        <v>661.80586888170581</v>
      </c>
      <c r="I46">
        <f t="shared" si="0"/>
        <v>1252.1562653526926</v>
      </c>
      <c r="J46">
        <f t="shared" si="2"/>
        <v>5.4219838844123354</v>
      </c>
      <c r="K46">
        <f t="shared" si="3"/>
        <v>10.762296311608539</v>
      </c>
      <c r="L46">
        <f t="shared" si="1"/>
        <v>85.070282700000007</v>
      </c>
      <c r="M46">
        <f t="shared" si="1"/>
        <v>178.65339569999998</v>
      </c>
    </row>
    <row r="47" spans="1:13" x14ac:dyDescent="0.25">
      <c r="A47" t="s">
        <v>28</v>
      </c>
      <c r="B47" t="s">
        <v>24</v>
      </c>
      <c r="C47" t="s">
        <v>26</v>
      </c>
      <c r="D47" t="s">
        <v>15</v>
      </c>
      <c r="E47" s="1" t="s">
        <v>20</v>
      </c>
      <c r="F47">
        <v>636.26315789473688</v>
      </c>
      <c r="G47">
        <v>1154.6315789473683</v>
      </c>
      <c r="H47">
        <f t="shared" si="0"/>
        <v>728.66031225863594</v>
      </c>
      <c r="I47">
        <f t="shared" si="0"/>
        <v>1098.099188623441</v>
      </c>
      <c r="J47">
        <f t="shared" si="2"/>
        <v>6.0402951610614446</v>
      </c>
      <c r="K47">
        <f t="shared" si="3"/>
        <v>9.4087911048024591</v>
      </c>
      <c r="L47">
        <f t="shared" si="1"/>
        <v>93.377609000000007</v>
      </c>
      <c r="M47">
        <f t="shared" si="1"/>
        <v>149.32977799999998</v>
      </c>
    </row>
    <row r="48" spans="1:13" x14ac:dyDescent="0.25">
      <c r="A48" t="s">
        <v>28</v>
      </c>
      <c r="B48" t="s">
        <v>24</v>
      </c>
      <c r="C48" t="s">
        <v>26</v>
      </c>
      <c r="D48" t="s">
        <v>16</v>
      </c>
      <c r="E48" t="s">
        <v>16</v>
      </c>
      <c r="F48">
        <v>436.38709677419354</v>
      </c>
      <c r="G48">
        <v>813.80645161290317</v>
      </c>
      <c r="H48">
        <f t="shared" si="0"/>
        <v>546.06131866977444</v>
      </c>
      <c r="I48">
        <f t="shared" si="0"/>
        <v>869.25314908972348</v>
      </c>
      <c r="J48">
        <f t="shared" si="2"/>
        <v>4.3521570105535208</v>
      </c>
      <c r="K48">
        <f t="shared" si="3"/>
        <v>7.3357798762618032</v>
      </c>
      <c r="L48">
        <f t="shared" si="1"/>
        <v>71.803186838709678</v>
      </c>
      <c r="M48">
        <f t="shared" si="1"/>
        <v>112.54145458064515</v>
      </c>
    </row>
    <row r="49" spans="1:13" x14ac:dyDescent="0.25">
      <c r="A49" t="s">
        <v>28</v>
      </c>
      <c r="B49" t="s">
        <v>24</v>
      </c>
      <c r="C49" t="s">
        <v>26</v>
      </c>
      <c r="D49" t="s">
        <v>17</v>
      </c>
      <c r="E49" t="s">
        <v>17</v>
      </c>
      <c r="F49">
        <v>370.13793103448273</v>
      </c>
      <c r="G49">
        <v>911.27586206896547</v>
      </c>
      <c r="H49">
        <f t="shared" si="0"/>
        <v>478.36675790552954</v>
      </c>
      <c r="I49">
        <f t="shared" si="0"/>
        <v>939.57647961611713</v>
      </c>
      <c r="J49">
        <f t="shared" si="2"/>
        <v>3.728716962145203</v>
      </c>
      <c r="K49">
        <f t="shared" si="3"/>
        <v>7.9788674985288273</v>
      </c>
      <c r="L49">
        <f t="shared" si="1"/>
        <v>64.652318137931033</v>
      </c>
      <c r="M49">
        <f t="shared" si="1"/>
        <v>123.06220527586206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Horjak</dc:creator>
  <cp:lastModifiedBy>Horjak, Luka</cp:lastModifiedBy>
  <dcterms:created xsi:type="dcterms:W3CDTF">2015-06-05T18:17:20Z</dcterms:created>
  <dcterms:modified xsi:type="dcterms:W3CDTF">2026-01-27T11:44:46Z</dcterms:modified>
</cp:coreProperties>
</file>